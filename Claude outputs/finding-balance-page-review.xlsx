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ge review" sheetId="1" state="visible" r:id="rId3"/>
    <sheet name="Legend" sheetId="2" state="visible" r:id="rId4"/>
    <sheet name="Summary" sheetId="3" state="visible" r:id="rId5"/>
  </sheets>
  <definedNames>
    <definedName function="false" hidden="true" localSheetId="0" name="_xlnm._FilterDatabase" vbProcedure="false">'Page review'!$A$1:$H$46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<sst xmlns="http://schemas.openxmlformats.org/spreadsheetml/2006/main" count="280" uniqueCount="236">
  <si>
    <t xml:space="preserve">Page Name</t>
  </si>
  <si>
    <t xml:space="preserve">Format</t>
  </si>
  <si>
    <t xml:space="preserve">Order</t>
  </si>
  <si>
    <t xml:space="preserve">Buttons</t>
  </si>
  <si>
    <t xml:space="preserve">Pictures</t>
  </si>
  <si>
    <t xml:space="preserve">Content</t>
  </si>
  <si>
    <t xml:space="preserve">Status</t>
  </si>
  <si>
    <t xml:space="preserve">Notes</t>
  </si>
  <si>
    <t xml:space="preserve">Front door</t>
  </si>
  <si>
    <t xml:space="preserve">/
LPC supervision and trauma therapy in Austin, Texas</t>
  </si>
  <si>
    <t xml:space="preserve">5 sections
plain → night → sand → night → plain
Top menu</t>
  </si>
  <si>
    <t xml:space="preserve">1. LPC supervision and trauma therapy in Austin, Texas
2. The four ways Reem works with therapists
3. Four ways Reem works with clients
4. Something to try before we ever meet
5. Start with a conversation</t>
  </si>
  <si>
    <t xml:space="preserve">6 buttons
• I am a therapist → #therapists
• I am looking for therapy → #clients
• About the book → /book/
• Try all seven steps → /book/practice/
• Request a consult → /contact/
• Read the common questions → /faq/</t>
  </si>
  <si>
    <t xml:space="preserve">2 images
• reem-portrait.jpg
• effortless-self-care-cover.jpg</t>
  </si>
  <si>
    <t xml:space="preserve">742 words in 25 paragraphs
avg sentence 14.3 words
longest paragraph 64 words
0 FAQ questions
17 internal links
first CTA 17% down</t>
  </si>
  <si>
    <t xml:space="preserve">For therapists</t>
  </si>
  <si>
    <t xml:space="preserve">/for-therapists/
Supervision, consultation and training</t>
  </si>
  <si>
    <t xml:space="preserve">7 sections
plain → sand → night → plain → sand → plain → night
Top menu</t>
  </si>
  <si>
    <t xml:space="preserve">1. Supervision, consultation and training
2. Why these belong together
3. Who tends to work well here
4. Supervision from someone still in the room
5. At a glance
6. Questions therapists ask first
7. Start with a conversation</t>
  </si>
  <si>
    <t xml:space="preserve">8 buttons (2 repeated)
• LPC supervision → /for-therapists/lpc-supervision/
• EMDR consultation → /for-therapists/emdr-consultation/
• Ethics CEUs → /for-therapists/ethics-ceus/
• Retreats and training → /for-therapists/retreats-training/
• Request a consult → /contact/appointment/
• Contact us → /contact/</t>
  </si>
  <si>
    <t xml:space="preserve">1 image
• reem-and-blu.jpg</t>
  </si>
  <si>
    <t xml:space="preserve">1,058 words in 28 paragraphs
avg sentence 13.9 words
longest paragraph 78 words
5 FAQ questions
10 internal links
first CTA 4% down</t>
  </si>
  <si>
    <t xml:space="preserve">/for-therapists/lpc-supervision/
LPC supervision in Texas</t>
  </si>
  <si>
    <t xml:space="preserve">8 sections
plain → night → sand → plain → sand → plain → sand → night
Body links only</t>
  </si>
  <si>
    <t xml:space="preserve">1. LPC supervision in Texas
2. The arrangement, in numbers
3. What Texas requires of you
4. What supervision here is like
5. Beyond the required hours
6. How to apply
7. LPC supervision questions
8. Start with a conversation</t>
  </si>
  <si>
    <t xml:space="preserve">6 buttons
• Book a free 30-minute consult → /contact/
• Read the full guide → /texas-lpc-licensure/
• Email your application → mailto:info@findingbalancecounselingpllc.com
• Ask a question first → /contact/
• Request a consult → /contact/appointment/
• Contact us → /contact/</t>
  </si>
  <si>
    <t xml:space="preserve">1 PLACEHOLDER</t>
  </si>
  <si>
    <t xml:space="preserve">1,344 words in 24 paragraphs
avg sentence 15.5 words
longest paragraph 56 words
9 FAQ questions
10 internal links
first CTA 5% down</t>
  </si>
  <si>
    <t xml:space="preserve">/for-therapists/emdr-consultation/
EMDR consultation</t>
  </si>
  <si>
    <t xml:space="preserve">8 sections
plain → sand → plain → sand → plain → plain → sand → night
Body links only</t>
  </si>
  <si>
    <t xml:space="preserve">1. EMDR consultation
2. What we work on
3. What EMDRIA asks for, and where these hours fit
4. Who tends to book this
5. What an hour looks like
6. Consultation questions
7. The rest of the work with therapists
8. Start with a conversation</t>
  </si>
  <si>
    <t xml:space="preserve">6 buttons (1 repeated)
• Schedule a free consult → /contact/
• What EMDRIA requires → #emdria
• Book the free consult → /contact/
• Contact us → /contact/
• Request a consult → /contact/appointment/</t>
  </si>
  <si>
    <t xml:space="preserve">1,154 words in 25 paragraphs
avg sentence 15.1 words
longest paragraph 63 words
5 FAQ questions
8 internal links
first CTA 5% down</t>
  </si>
  <si>
    <t xml:space="preserve">/for-therapists/ethics-ceus/
Ethics CEUs</t>
  </si>
  <si>
    <t xml:space="preserve">6 sections
plain → night → plain → sand → plain → night
Body links only</t>
  </si>
  <si>
    <t xml:space="preserve">1. Ethics CEUs
2. The two formats
3. Why secondary trauma, for an ethics hour
4. Other ways to work with Reem
5. Questions about the CEUs
6. Start with a conversation</t>
  </si>
  <si>
    <t xml:space="preserve">4 buttons (1 repeated)
• Contact us → /contact/
• The CE requirements in full → /texas-lpc-licensure/
• Request a consult → /contact/appointment/</t>
  </si>
  <si>
    <t xml:space="preserve">1 image
• horse-grazing.jpg</t>
  </si>
  <si>
    <t xml:space="preserve">930 words in 23 paragraphs
avg sentence 15.2 words
longest paragraph 72 words
7 FAQ questions
8 internal links
first CTA 9% down</t>
  </si>
  <si>
    <t xml:space="preserve">/for-therapists/retreats-training/
Retreats and training for therapists</t>
  </si>
  <si>
    <t xml:space="preserve">8 sections
plain → night → plain → sand → plain → sand → plain → night
Body links only</t>
  </si>
  <si>
    <t xml:space="preserve">1. Retreats and training for therapists
2. Why any of this, when you already have supervision
3. Mindful trail retreats
4. Working with horses
5. Ethics hours, taught the same way
6. The rest of the work with therapists
7. Questions
8. Start with a conversation</t>
  </si>
  <si>
    <t xml:space="preserve">4 buttons
• Ask about the next one → /contact/
• Ask about working with horses → /contact/
• Request a consult → /contact/appointment/
• Contact us → /contact/</t>
  </si>
  <si>
    <t xml:space="preserve">922 words in 24 paragraphs
avg sentence 14.8 words
longest paragraph 55 words
5 FAQ questions
8 internal links
first CTA 6% down</t>
  </si>
  <si>
    <t xml:space="preserve">/texas-lpc-licensure/
Getting licensed as an LPC in Texas</t>
  </si>
  <si>
    <t xml:space="preserve">10 sections
plain → sand → plain → night → plain → sand → plain → plain → plain → night
Body links only</t>
  </si>
  <si>
    <t xml:space="preserve">1. Getting licensed as an LPC in Texas
2. The path, in four stages
3. The hours, and how long they actually take
4. The supervision rules associates get wrong
5. Choosing a supervisor
6. What supervision costs
7. Renewing your Texas LPC license
8. Becoming a supervisor
9. Texas LPC licensure questions
10. Supervision with Reem</t>
  </si>
  <si>
    <t xml:space="preserve">4 buttons
• See what is included → /for-therapists/lpc-supervision/
• All fees → /faq/
• See the details → /for-therapists/lpc-supervision/
• Book a free consult → /contact/</t>
  </si>
  <si>
    <t xml:space="preserve">none</t>
  </si>
  <si>
    <t xml:space="preserve">2,258 words in 31 paragraphs
avg sentence 17.6 words
longest paragraph 94 words
11 FAQ questions
5 internal links
first CTA 44% down</t>
  </si>
  <si>
    <t xml:space="preserve">For clients</t>
  </si>
  <si>
    <t xml:space="preserve">/therapy/
Trauma, anxiety and depression therapy in Texas</t>
  </si>
  <si>
    <t xml:space="preserve">7 sections
plain → sand → plain → sand → night → plain → night
Top menu</t>
  </si>
  <si>
    <t xml:space="preserve">1. Trauma, anxiety and depression therapy in Texas
2. What brings you?
3. Four methods, interlocking
4. Who this is for
5. Reem or one of the associates?
6. Common questions about therapy here
7. Start with a conversation</t>
  </si>
  <si>
    <t xml:space="preserve">5 buttons
• Request a free 15-minute consult → /contact/
• See fees → /faq/
• Reem's blog → /blog/
• Request a consult → /contact/appointment/
• Contact us → /contact/</t>
  </si>
  <si>
    <t xml:space="preserve">6 images, 1 PLACEHOLDER
• nica-ayala.jpg
• sylvia-earl.jpg
• natasha-mahesh.jpg
• sheila-singh.jpg
• heather-johnston.jpg
• emmy-laursen.jpg</t>
  </si>
  <si>
    <t xml:space="preserve">1,106 words in 28 paragraphs
avg sentence 14.5 words
longest paragraph 83 words
7 FAQ questions
21 internal links
first CTA 8% down</t>
  </si>
  <si>
    <t xml:space="preserve">/therapy/trauma/
Trauma therapy in Texas</t>
  </si>
  <si>
    <t xml:space="preserve">1. Trauma therapy in Texas
2. The arrangement, in numbers
3. What trauma work looks like here
4. Related
5. Questions about trauma therapy
6. Start with a conversation</t>
  </si>
  <si>
    <t xml:space="preserve">4 buttons
• Request a free 15-minute consult → /contact/
• How the methods work → /approach/
• Request a consult → /contact/appointment/
• Contact us → /contact/</t>
  </si>
  <si>
    <t xml:space="preserve">1 image
• step-5-feel.jpg</t>
  </si>
  <si>
    <t xml:space="preserve">998 words in 19 paragraphs
avg sentence 14.8 words
longest paragraph 83 words
7 FAQ questions
8 internal links
first CTA 9% down</t>
  </si>
  <si>
    <t xml:space="preserve">/therapy/anxiety/
Anxiety therapy in Texas</t>
  </si>
  <si>
    <t xml:space="preserve">1. Anxiety therapy in Texas
2. The arrangement, in numbers
3. Anxiety as a nervous system state
4. Related
5. Questions about anxiety therapy
6. Start with a conversation</t>
  </si>
  <si>
    <t xml:space="preserve">1 image
• step-4-breathe.jpg</t>
  </si>
  <si>
    <t xml:space="preserve">977 words in 19 paragraphs
avg sentence 15.0 words
longest paragraph 68 words
7 FAQ questions
8 internal links
first CTA 7% down</t>
  </si>
  <si>
    <t xml:space="preserve">/therapy/depression/
Depression therapy in Texas</t>
  </si>
  <si>
    <t xml:space="preserve">1. Depression therapy in Texas
2. The arrangement, in numbers
3. Depression as an adaptation, not a defect
4. Related
5. Questions about depression therapy
6. Start with a conversation</t>
  </si>
  <si>
    <t xml:space="preserve">1 image
• step-2-light.jpg</t>
  </si>
  <si>
    <t xml:space="preserve">1,006 words in 19 paragraphs
avg sentence 14.8 words
longest paragraph 77 words
7 FAQ questions
8 internal links
first CTA 8% down</t>
  </si>
  <si>
    <t xml:space="preserve">/therapy/walk-and-talk/
Walk and talk therapy in central Texas</t>
  </si>
  <si>
    <t xml:space="preserve">8 sections
plain → night → plain → plain → sand → sand → plain → night
Body links only</t>
  </si>
  <si>
    <t xml:space="preserve">1. Walk and talk therapy in central Texas
2. The arrangement, in numbers
3. Why outside, and why side by side
4. What is actually out there
5. Where the sessions happen
6. How it starts
7. Questions about walk and talk therapy
8. Start with a conversation</t>
  </si>
  <si>
    <t xml:space="preserve">6 buttons
• Request a free 15-minute consult → /contact/
• See fees → /faq/
• Request a consult → /contact/
• All therapy options → /therapy/
• Request a consult → /contact/appointment/
• Contact us → /contact/</t>
  </si>
  <si>
    <t xml:space="preserve">8 images
• wildflowers-trail.jpg
• flower-blue-eyed-grass.jpg
• flower-white-aster.jpg
• flower-yellow-daisies.jpg
• horse-grazing.jpg
• trail-shade.jpg
• trail-chime.jpg
• intention-stones.jpg</t>
  </si>
  <si>
    <t xml:space="preserve">1,014 words in 18 paragraphs
avg sentence 15.4 words
longest paragraph 78 words
7 FAQ questions
6 internal links
first CTA 8% down</t>
  </si>
  <si>
    <t xml:space="preserve">/therapy/equine/
Equine-assisted therapy</t>
  </si>
  <si>
    <t xml:space="preserve">1. Equine-assisted therapy
2. The arrangement, in numbers
3. What a horse notices
4. Related
5. Questions about equine therapy
6. Start with a conversation</t>
  </si>
  <si>
    <t xml:space="preserve">4 buttons
• Request a free 15-minute consult → /contact/
• Walk and talk therapy → /therapy/walk-and-talk/
• Request a consult → /contact/appointment/
• Contact us → /contact/</t>
  </si>
  <si>
    <t xml:space="preserve">1,006 words in 22 paragraphs
avg sentence 14.3 words
longest paragraph 72 words
8 FAQ questions
8 internal links
first CTA 8% down</t>
  </si>
  <si>
    <t xml:space="preserve">/therapy/associates/
Our LPC Associates</t>
  </si>
  <si>
    <t xml:space="preserve">1. Our LPC Associates
2. At a glance
3. The associates
4. How to choose
5. Questions about seeing an associate
6. Start with a conversation</t>
  </si>
  <si>
    <t xml:space="preserve">4 buttons
• Ask which associate fits → /contact/
• All therapy options → /therapy/
• Request a consult → /contact/appointment/
• Contact us → /contact/</t>
  </si>
  <si>
    <t xml:space="preserve">6 images
• nica-ayala.jpg
• sylvia-earl.jpg
• natasha-mahesh.jpg
• sheila-singh.jpg
• heather-johnston.jpg
• emmy-laursen.jpg</t>
  </si>
  <si>
    <t xml:space="preserve">1,302 words in 27 paragraphs
avg sentence 12.9 words
longest paragraph 84 words
7 FAQ questions
11 internal links
first CTA 7% down</t>
  </si>
  <si>
    <t xml:space="preserve">/therapy/associates/nica-ayala/
Nica Ayala, M.A.</t>
  </si>
  <si>
    <t xml:space="preserve">4 sections
plain → sand → plain → night
Body links only</t>
  </si>
  <si>
    <t xml:space="preserve">1. Nica Ayala, M.A.
2. What Nica works with
3. Getting in touch
4. Start with Nica</t>
  </si>
  <si>
    <t xml:space="preserve">5 buttons (1 repeated)
• Contact Nica → mailto:NicaAyala1986@gmail.com
• Fees and insurance → /faq/
• All the associates → /therapy/associates/
• Not sure? Ask the practice → /contact/</t>
  </si>
  <si>
    <t xml:space="preserve">1 image
• nica-ayala.jpg</t>
  </si>
  <si>
    <t xml:space="preserve">461 words in 13 paragraphs
avg sentence 14.3 words
longest paragraph 50 words
0 FAQ questions
4 internal links
first CTA 53% down</t>
  </si>
  <si>
    <t xml:space="preserve">/therapy/associates/sylvia-earl/
Sylvia Earl</t>
  </si>
  <si>
    <t xml:space="preserve">1. Sylvia Earl
2. What Sylvia works with
3. Getting in touch
4. Start with Sylvia</t>
  </si>
  <si>
    <t xml:space="preserve">5 buttons (1 repeated)
• Contact Sylvia → mailto:Info@sylviaearlcounseling.com
• Fees and insurance → /faq/
• All the associates → /therapy/associates/
• Not sure? Ask the practice → /contact/</t>
  </si>
  <si>
    <t xml:space="preserve">1 image
• sylvia-earl.jpg</t>
  </si>
  <si>
    <t xml:space="preserve">522 words in 11 paragraphs
avg sentence 18.1 words
longest paragraph 71 words
0 FAQ questions
4 internal links
first CTA 59% down</t>
  </si>
  <si>
    <t xml:space="preserve">/therapy/associates/natasha-mahesh/
Natasha Mahesh</t>
  </si>
  <si>
    <t xml:space="preserve">1. Natasha Mahesh
2. What Natasha works with
3. Getting in touch
4. Start with Natasha</t>
  </si>
  <si>
    <t xml:space="preserve">5 buttons (1 repeated)
• Contact Natasha → mailto:natasha.cmhc@gmail.com
• Fees and insurance → /faq/
• All the associates → /therapy/associates/
• Not sure? Ask the practice → /contact/</t>
  </si>
  <si>
    <t xml:space="preserve">1 image
• natasha-mahesh.jpg</t>
  </si>
  <si>
    <t xml:space="preserve">604 words in 12 paragraphs
avg sentence 16.6 words
longest paragraph 83 words
0 FAQ questions
4 internal links
first CTA 61% down</t>
  </si>
  <si>
    <t xml:space="preserve">/therapy/associates/sheila-singh/
Sheila Singh</t>
  </si>
  <si>
    <t xml:space="preserve">1. Sheila Singh
2. What Sheila works with
3. Getting in touch
4. Start with Sheila</t>
  </si>
  <si>
    <t xml:space="preserve">5 buttons (1 repeated)
• Contact Sheila → mailto:sheila@beaconcounselingatx.com
• Fees and insurance → /faq/
• All the associates → /therapy/associates/
• Not sure? Ask the practice → /contact/</t>
  </si>
  <si>
    <t xml:space="preserve">1 image
• sheila-singh.jpg</t>
  </si>
  <si>
    <t xml:space="preserve">815 words in 13 paragraphs
avg sentence 18.6 words
longest paragraph 114 words
0 FAQ questions
4 internal links
first CTA 71% down</t>
  </si>
  <si>
    <t xml:space="preserve">/therapy/associates/heather-johnston/
Heather Johnston</t>
  </si>
  <si>
    <t xml:space="preserve">1. Heather Johnston
2. What Heather works with
3. Getting in touch
4. Start with Heather</t>
  </si>
  <si>
    <t xml:space="preserve">5 buttons (1 repeated)
• Contact Heather → mailto:info@illumination-psychotherapy.com
• Fees and insurance → /faq/
• All the associates → /therapy/associates/
• Not sure? Ask the practice → /contact/</t>
  </si>
  <si>
    <t xml:space="preserve">1 image
• heather-johnston.jpg</t>
  </si>
  <si>
    <t xml:space="preserve">576 words in 10 paragraphs
avg sentence 19.9 words
longest paragraph 98 words
0 FAQ questions
4 internal links
first CTA 64% down</t>
  </si>
  <si>
    <t xml:space="preserve">/therapy/associates/emmy-laursen/
Emmy Laursen</t>
  </si>
  <si>
    <t xml:space="preserve">1. Emmy Laursen
2. What Emmy works with
3. Getting in touch
4. Start with Emmy</t>
  </si>
  <si>
    <t xml:space="preserve">5 buttons (1 repeated)
• Contact Emmy (opens in a new tab) → https://facingeasttherapy.com
• Fees and insurance → /faq/
• All the associates → /therapy/associates/
• Not sure? Ask the practice → /contact/</t>
  </si>
  <si>
    <t xml:space="preserve">1 image
• emmy-laursen.jpg</t>
  </si>
  <si>
    <t xml:space="preserve">488 words in 9 paragraphs
avg sentence 18.4 words
longest paragraph 111 words
0 FAQ questions
4 internal links
first CTA 57% down</t>
  </si>
  <si>
    <t xml:space="preserve">The methods</t>
  </si>
  <si>
    <t xml:space="preserve">/approach/
How the methods work, in plain language</t>
  </si>
  <si>
    <t xml:space="preserve">6 sections
plain → sand → plain → night → plain → night
Body links only</t>
  </si>
  <si>
    <t xml:space="preserve">1. How the methods work, in plain language
2. The four methods
3. How they fit together
4. What the first weeks tend to look like
5. Questions about the methods
6. Start with a conversation</t>
  </si>
  <si>
    <t xml:space="preserve">4 buttons
• Ask which approach fits → /contact/
• See therapy options → /therapy/
• Request a consult → /contact/appointment/
• Contact us → /contact/</t>
  </si>
  <si>
    <t xml:space="preserve">1 image
• step-1-space.jpg</t>
  </si>
  <si>
    <t xml:space="preserve">900 words in 18 paragraphs
avg sentence 14.8 words
longest paragraph 67 words
5 FAQ questions
10 internal links
first CTA 61% down</t>
  </si>
  <si>
    <t xml:space="preserve">/approach/ifs-informed-emdr/
IFS-informed EMDR</t>
  </si>
  <si>
    <t xml:space="preserve">1. IFS-informed EMDR
2. What it is, in short
3. Why standard EMDR stalls
4. Related
5. Questions about IFS-informed EMDR
6. Start with a conversation</t>
  </si>
  <si>
    <t xml:space="preserve">4 buttons
• Request a free 15-minute consult → /contact/
• How standard EMDR works → /approach/emdr/
• Request a consult → /contact/appointment/
• Contact us → /contact/</t>
  </si>
  <si>
    <t xml:space="preserve">1,000 words in 19 paragraphs
avg sentence 14.4 words
longest paragraph 101 words
6 FAQ questions
8 internal links
first CTA 11% down</t>
  </si>
  <si>
    <t xml:space="preserve">/approach/emdr/
EMDR therapy in Texas</t>
  </si>
  <si>
    <t xml:space="preserve">1. EMDR therapy in Texas
2. EMDR in short
3. What EMDR does
4. Related
5. Questions about EMDR
6. Start with a conversation</t>
  </si>
  <si>
    <t xml:space="preserve">4 buttons
• Request a free 15-minute consult → /contact/
• If EMDR has stalled before → /approach/ifs-informed-emdr/
• Request a consult → /contact/appointment/
• Contact us → /contact/</t>
  </si>
  <si>
    <t xml:space="preserve">1,140 words in 23 paragraphs
avg sentence 15.4 words
longest paragraph 73 words
9 FAQ questions
9 internal links
first CTA 6% down</t>
  </si>
  <si>
    <t xml:space="preserve">/approach/narm/
NARM therapy</t>
  </si>
  <si>
    <t xml:space="preserve">7 sections
plain → night → plain → sand → plain → plain → night
Body links only</t>
  </si>
  <si>
    <t xml:space="preserve">1. NARM therapy
2. NARM in short
3. What NARM actually does
4. Related
5. Related reading
6. Questions about NARM
7. Start with a conversation</t>
  </si>
  <si>
    <t xml:space="preserve">4 buttons
• Request a free 15-minute consult → /contact/
• All four methods → /approach/
• Request a consult → /contact/appointment/
• Contact us → /contact/</t>
  </si>
  <si>
    <t xml:space="preserve">1,087 words in 22 paragraphs
avg sentence 15.7 words
longest paragraph 89 words
7 FAQ questions
10 internal links
first CTA 9% down</t>
  </si>
  <si>
    <t xml:space="preserve">/approach/somatic-experiencing/
Somatic Experiencing</t>
  </si>
  <si>
    <t xml:space="preserve">1. Somatic Experiencing
2. Somatic Experiencing in short
3. Why the body and not the story
4. Related
5. Questions about Somatic Experiencing
6. Start with a conversation</t>
  </si>
  <si>
    <t xml:space="preserve">4 buttons
• Request a free 15-minute consult → /contact/
• Try a short somatic practice free → /book/practice/
• Request a consult → /contact/appointment/
• Contact us → /contact/</t>
  </si>
  <si>
    <t xml:space="preserve">1,134 words in 23 paragraphs
avg sentence 15.5 words
longest paragraph 66 words
8 FAQ questions
7 internal links
first CTA 7% down</t>
  </si>
  <si>
    <t xml:space="preserve">Shared</t>
  </si>
  <si>
    <t xml:space="preserve">/about/
Reem Glasco, LPC-S</t>
  </si>
  <si>
    <t xml:space="preserve">4 sections
plain → sand → plain → night
Top menu</t>
  </si>
  <si>
    <t xml:space="preserve">1. Reem Glasco, LPC-S
2. How Reem works
3. Credentials
4. Start with a conversation</t>
  </si>
  <si>
    <t xml:space="preserve">7 buttons (1 repeated)
• Request a consult → /contact/appointment/
• Therapy here → /therapy/
• For therapists → /for-therapists/
• Reem's blog → /blog/
• Her book → /book/
• Contact us → /contact/</t>
  </si>
  <si>
    <t xml:space="preserve">1 image
• reem-portrait.jpg</t>
  </si>
  <si>
    <t xml:space="preserve">484 words in 9 paragraphs
avg sentence 17.4 words
longest paragraph 67 words
0 FAQ questions
13 internal links
first CTA 19% down</t>
  </si>
  <si>
    <t xml:space="preserve">/faq/
Questions people ask first</t>
  </si>
  <si>
    <t xml:space="preserve">10 sections
plain → plain → sand → plain → sand → plain → sand → plain → plain → sand
Top menu</t>
  </si>
  <si>
    <t xml:space="preserve">1. Questions people ask first
2. Getting started
3. Money
4. The work itself
5. Understanding the methods
6. Complex PTSD
7. For therapists
8. Safety
9. Texas notices
10. Still deciding?</t>
  </si>
  <si>
    <t xml:space="preserve">4 buttons (2 repeated)
• Request a consult → /contact/appointment/
• Contact us → /contact/</t>
  </si>
  <si>
    <t xml:space="preserve">2,467 words in 61 paragraphs
avg sentence 13.6 words
longest paragraph 97 words
37 FAQ questions
17 internal links
first CTA 3% down</t>
  </si>
  <si>
    <t xml:space="preserve">/book/
Effort-less Self-Care</t>
  </si>
  <si>
    <t xml:space="preserve">8 sections
plain → sand → plain → night → plain → sand → plain → night
Top menu</t>
  </si>
  <si>
    <t xml:space="preserve">1. Effort-less Self-Care
2. Who it is for
3. Seven easy steps to calm and connection
4. A calm space to notice, not fix
5. Guiding you gently back to yourself
6. The details
7. Questions about the book
8. Start with a conversation</t>
  </si>
  <si>
    <t xml:space="preserve">5 buttons
• Try the seven steps → /book/practice/
• Find it on Barnes &amp; Noble (opens in a new tab) → https://www.barnesandnoble.com/w/effortless-self-care-reem-glasco/1149690519
• Walk through the steps now → /book/practice/
• Request a consult → /contact/appointment/
• Contact us → /contact/</t>
  </si>
  <si>
    <t xml:space="preserve">9 images
• effortless-self-care-cover.jpg
• step-1-space.jpg
• step-2-light.jpg
• step-3-heart.jpg
• step-4-breathe.jpg
• step-5-feel.jpg
• step-6-name.jpg
• step-7-ground.jpg
• book-reem.jpg</t>
  </si>
  <si>
    <t xml:space="preserve">1,171 words in 40 paragraphs
avg sentence 12.0 words
longest paragraph 86 words
7 FAQ questions
9 internal links
first CTA 9% down</t>
  </si>
  <si>
    <t xml:space="preserve">/book/practice/
The seven steps</t>
  </si>
  <si>
    <t xml:space="preserve">12 sections
plain → plain → plain → plain → plain → plain → plain → plain → night → plain → plain → night
Body links only</t>
  </si>
  <si>
    <t xml:space="preserve">1. The seven steps
2. Find Your Comfortable Space
3. Face the Light
4. Return to Your Heart
5. Breathe in Peace, Breathe out Stress
6. Pause and Feel
7. Gently Name What You Feel
8. Ground Yourself Through Your Senses
9. Just breathe
10. Your reflections
11. Questions about the practice
12. Start with a conversation</t>
  </si>
  <si>
    <t xml:space="preserve">4 buttons
• See what I have written → #reflections
• Read what I wrote → #reflections
• Request a consult → /contact/appointment/
• Contact us → /contact/</t>
  </si>
  <si>
    <t xml:space="preserve">8 images
• step-1-space.jpg
• step-2-light.jpg
• step-3-heart.jpg
• step-4-breathe.jpg
• step-5-feel.jpg
• step-6-name.jpg
• step-7-ground.jpg
• book-closing.jpg</t>
  </si>
  <si>
    <t xml:space="preserve">1,043 words in 55 paragraphs
avg sentence 9.2 words
longest paragraph 68 words
5 FAQ questions
7 internal links
first CTA 8% down</t>
  </si>
  <si>
    <t xml:space="preserve">/blog/
Reem's blog</t>
  </si>
  <si>
    <t xml:space="preserve">1. Reem's blog
2. If you are thinking about therapy
3. If you are a therapist
4. Start with a conversation</t>
  </si>
  <si>
    <t xml:space="preserve">2 buttons
• Request a consult → /contact/appointment/
• Contact us → /contact/</t>
  </si>
  <si>
    <t xml:space="preserve">214 words in 6 paragraphs
avg sentence 14.8 words
longest paragraph 42 words
0 FAQ questions
6 internal links
first CTA 98% down</t>
  </si>
  <si>
    <t xml:space="preserve">/blog/healthy-boundaries/
How to set healthy boundaries</t>
  </si>
  <si>
    <t xml:space="preserve">6 sections
plain → plain → night → plain → sand → night
Body links only</t>
  </si>
  <si>
    <t xml:space="preserve">1. How to set healthy boundaries
2. Five steps
3. Why this is often harder than it sounds
4. Common questions about boundaries
5. More from Reem's blog
6. Start with a conversation</t>
  </si>
  <si>
    <t xml:space="preserve">4 buttons (1 repeated)
• Request a consult → /contact/appointment/
• Trauma therapy here → /therapy/trauma/
• Contact us → /contact/</t>
  </si>
  <si>
    <t xml:space="preserve">838 words in 14 paragraphs
avg sentence 14.4 words
longest paragraph 67 words
4 FAQ questions
8 internal links
first CTA 54% down</t>
  </si>
  <si>
    <t xml:space="preserve">/blog/walk-and-talk-therapy/
Why walk and talk therapy works</t>
  </si>
  <si>
    <t xml:space="preserve">1. Why walk and talk therapy works
2. What changes on a trail
3. Who it is not for
4. Questions about walking sessions
5. More from Reem's blog
6. Start with a conversation</t>
  </si>
  <si>
    <t xml:space="preserve">4 buttons
• Walk and talk therapy here → /therapy/walk-and-talk/
• Equine-assisted sessions → /therapy/equine/
• Request a consult → /contact/appointment/
• Contact us → /contact/</t>
  </si>
  <si>
    <t xml:space="preserve">1 image
• wildflowers-trail.jpg</t>
  </si>
  <si>
    <t xml:space="preserve">859 words in 16 paragraphs
avg sentence 14.8 words
longest paragraph 59 words
5 FAQ questions
8 internal links
first CTA 49% down</t>
  </si>
  <si>
    <t xml:space="preserve">/blog/equine-therapy-insurance-cost/
Is equine-assisted therapy covered by insurance?</t>
  </si>
  <si>
    <t xml:space="preserve">7 sections
plain → plain → sand → plain → plain → sand → night
Body links only</t>
  </si>
  <si>
    <t xml:space="preserve">1. Is equine-assisted therapy covered by insurance?
2. What actually gets billed
3. What to ask your plan
4. What it costs here
5. Questions about cost and coverage
6. More from Reem's blog
7. Start with a conversation</t>
  </si>
  <si>
    <t xml:space="preserve">4 buttons (1 repeated)
• Equine-assisted therapy here → /therapy/equine/
• Request a consult → /contact/appointment/
• Contact us → /contact/</t>
  </si>
  <si>
    <t xml:space="preserve">947 words in 19 paragraphs
avg sentence 15.5 words
longest paragraph 63 words
5 FAQ questions
7 internal links
first CTA 52% down</t>
  </si>
  <si>
    <t xml:space="preserve">/blog/trauma-informed-supervision/
What makes supervision trauma-informed</t>
  </si>
  <si>
    <t xml:space="preserve">1. What makes supervision trauma-informed
2. Three things it changes
3. Why it matters more for associates
4. Questions about trauma-informed supervision
5. More from Reem's blog
6. Start with a conversation</t>
  </si>
  <si>
    <t xml:space="preserve">4 buttons
• LPC supervision here → /for-therapists/lpc-supervision/
• The Texas licensure guide → /texas-lpc-licensure/
• Request a consult → /contact/appointment/
• Contact us → /contact/</t>
  </si>
  <si>
    <t xml:space="preserve">838 words in 15 paragraphs
avg sentence 15.1 words
longest paragraph 58 words
5 FAQ questions
9 internal links
first CTA 49% down</t>
  </si>
  <si>
    <t xml:space="preserve">Contact and utility</t>
  </si>
  <si>
    <t xml:space="preserve">/contact/
Contact us</t>
  </si>
  <si>
    <t xml:space="preserve">1 sections
plain
Top menu</t>
  </si>
  <si>
    <t xml:space="preserve">1. Contact us</t>
  </si>
  <si>
    <t xml:space="preserve">2 buttons
• Use the request form → /contact/appointment/
• Email us directly → mailto:info@findingbalancecounselingpllc.com</t>
  </si>
  <si>
    <t xml:space="preserve">288 words in 5 paragraphs
avg sentence 15.4 words
longest paragraph 54 words
0 FAQ questions
4 internal links
first CTA 20% down</t>
  </si>
  <si>
    <t xml:space="preserve">/contact/appointment/
Request a consult</t>
  </si>
  <si>
    <t xml:space="preserve">5 sections
plain → night → plain → plain → night
Body links only</t>
  </si>
  <si>
    <t xml:space="preserve">1. Request a consult
2. What you are asking about
3. What happens next
4. Questions about booking
5. Start with a conversation</t>
  </si>
  <si>
    <t xml:space="preserve">3 buttons
• Email us directly → mailto:info@findingbalancecounselingpllc.com
• Request a consult → /contact/appointment/
• Contact us → /contact/</t>
  </si>
  <si>
    <t xml:space="preserve">677 words in 17 paragraphs
avg sentence 13.7 words
longest paragraph 78 words
5 FAQ questions
5 internal links
first CTA 27% down</t>
  </si>
  <si>
    <t xml:space="preserve">/contact/forms/
Client forms</t>
  </si>
  <si>
    <t xml:space="preserve">1. Client forms
2. The forms
3. Two of these are not optional
4. Questions about the paperwork
5. Start with a conversation</t>
  </si>
  <si>
    <t xml:space="preserve">4 buttons
• Request the forms → /contact/
• See fees first → /faq/
• Request a consult → /contact/appointment/
• Contact us → /contact/</t>
  </si>
  <si>
    <t xml:space="preserve">797 words in 15 paragraphs
avg sentence 17.2 words
longest paragraph 64 words
5 FAQ questions
10 internal links
first CTA 8% down</t>
  </si>
  <si>
    <t xml:space="preserve">/privacy/
Privacy policy</t>
  </si>
  <si>
    <t xml:space="preserve">6 sections
plain → night → plain → sand → plain → night
Footer only</t>
  </si>
  <si>
    <t xml:space="preserve">1. Privacy policy
2. In short
3. What happens when you visit
4. Your clinical record
5. Questions about privacy on this site
6. Start with a conversation</t>
  </si>
  <si>
    <t xml:space="preserve">916 words in 19 paragraphs
avg sentence 14.5 words
longest paragraph 68 words
6 FAQ questions
5 internal links
first CTA 100% down</t>
  </si>
  <si>
    <t xml:space="preserve">/404.html
That page is not here</t>
  </si>
  <si>
    <t xml:space="preserve">1 sections
plain
Body links only</t>
  </si>
  <si>
    <t xml:space="preserve">1. That page is not here</t>
  </si>
  <si>
    <t xml:space="preserve">0</t>
  </si>
  <si>
    <t xml:space="preserve">64 words in 6 paragraphs
avg sentence 7.0 words
longest paragraph 22 words
0 FAQ questions
5 internal links
no call to action</t>
  </si>
  <si>
    <t xml:space="preserve">Finding Balance — final page review</t>
  </si>
  <si>
    <t xml:space="preserve">Snapshot taken</t>
  </si>
  <si>
    <t xml:space="preserve">You fill in</t>
  </si>
  <si>
    <t xml:space="preserve">Only the Status and Notes columns. Everything else is read from the built site, so it can be regenerated rather than kept up to date by hand.</t>
  </si>
  <si>
    <t xml:space="preserve">Pick from the dropdown: Not started · Looks right · Needs work · Done. Leave blank for pages you have not looked at yet.</t>
  </si>
  <si>
    <t xml:space="preserve">Example</t>
  </si>
  <si>
    <t xml:space="preserve">Status "Needs work", Notes "Hero photo still a placeholder; check the fee in section 5 against what Reem confirmed."</t>
  </si>
  <si>
    <t xml:space="preserve">The URL path and the page's own H1 heading.</t>
  </si>
  <si>
    <t xml:space="preserve">How many sections, their background sequence (plain → sand → night), and how the page is reached: top menu, footer only, or body links only.</t>
  </si>
  <si>
    <t xml:space="preserve">Every section heading, in the order they appear on the page.</t>
  </si>
  <si>
    <t xml:space="preserve">Every call-to-action button, with where it goes. A button appearing twice on one page is counted once and flagged as repeated.</t>
  </si>
  <si>
    <t xml:space="preserve">Images on the page, by filename. PLACEHOLDER counts the dashed boxes still waiting for a photograph.</t>
  </si>
  <si>
    <t xml:space="preserve">Length, prose density, and reach. 'First CTA % down' is how far into the page the reader gets before anything is clickable.</t>
  </si>
  <si>
    <t xml:space="preserve">Known gaps</t>
  </si>
  <si>
    <t xml:space="preserve">3 photograph placeholders are live: /therapy/, /for-therapists/lpc-supervision/ and /for-therapists/emdr-consultation/. The build prints them on every run.</t>
  </si>
  <si>
    <t xml:space="preserve">Not included</t>
  </si>
  <si>
    <t xml:space="preserve">/preview/ is a build tool, not a public page, so it is left out. 39 pages are listed.</t>
  </si>
  <si>
    <t xml:space="preserve">Review progress</t>
  </si>
  <si>
    <t xml:space="preserve">Counts update as you set Status on the review sheet.</t>
  </si>
  <si>
    <t xml:space="preserve">Pages</t>
  </si>
  <si>
    <t xml:space="preserve">Not started</t>
  </si>
  <si>
    <t xml:space="preserve">Looks right</t>
  </si>
  <si>
    <t xml:space="preserve">Needs work</t>
  </si>
  <si>
    <t xml:space="preserve">Done</t>
  </si>
  <si>
    <t xml:space="preserve">Not yet marked</t>
  </si>
</sst>
</file>

<file path=xl/styles.xml><?xml version="1.0" encoding="utf-8"?>
<styleSheet xmlns="http://schemas.openxmlformats.org/spreadsheetml/2006/main">
  <numFmts count="3">
    <numFmt numFmtId="164" formatCode="General"/>
    <numFmt numFmtId="165" formatCode="d\ mmmm\ yyyy"/>
    <numFmt numFmtId="166"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color rgb="FF2A2620"/>
      <name val="Arial"/>
      <family val="0"/>
      <charset val="1"/>
    </font>
    <font>
      <sz val="10"/>
      <color rgb="FF2A2620"/>
      <name val="Arial"/>
      <family val="0"/>
      <charset val="1"/>
    </font>
    <font>
      <b val="true"/>
      <sz val="14"/>
      <color rgb="FF2A2620"/>
      <name val="Arial"/>
      <family val="0"/>
      <charset val="1"/>
    </font>
    <font>
      <b val="true"/>
      <sz val="13"/>
      <color rgb="FF2A2620"/>
      <name val="Arial"/>
      <family val="0"/>
      <charset val="1"/>
    </font>
    <font>
      <i val="true"/>
      <sz val="9"/>
      <color rgb="FF5C5346"/>
      <name val="Arial"/>
      <family val="0"/>
      <charset val="1"/>
    </font>
  </fonts>
  <fills count="4">
    <fill>
      <patternFill patternType="none"/>
    </fill>
    <fill>
      <patternFill patternType="gray125"/>
    </fill>
    <fill>
      <patternFill patternType="solid">
        <fgColor rgb="FF1F2D38"/>
        <bgColor rgb="FF2A2620"/>
      </patternFill>
    </fill>
    <fill>
      <patternFill patternType="solid">
        <fgColor rgb="FFE5DDD0"/>
        <bgColor rgb="FFFFCC99"/>
      </patternFill>
    </fill>
  </fills>
  <borders count="2">
    <border diagonalUp="false" diagonalDown="false">
      <left/>
      <right/>
      <top/>
      <bottom/>
      <diagonal/>
    </border>
    <border diagonalUp="false" diagonalDown="false">
      <left style="thin">
        <color rgb="FFBFB5A5"/>
      </left>
      <right style="thin">
        <color rgb="FFBFB5A5"/>
      </right>
      <top style="thin">
        <color rgb="FFBFB5A5"/>
      </top>
      <bottom style="thin">
        <color rgb="FFBFB5A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2D38"/>
          <bgColor rgb="FF000000"/>
        </patternFill>
      </fill>
    </dxf>
    <dxf>
      <fill>
        <patternFill patternType="solid">
          <fgColor rgb="FFE5DDD0"/>
          <bgColor rgb="FF000000"/>
        </patternFill>
      </fill>
    </dxf>
    <dxf>
      <fill>
        <patternFill patternType="solid">
          <bgColor rgb="FF000000"/>
        </patternFill>
      </fill>
    </dxf>
    <dxf>
      <fill>
        <patternFill patternType="solid">
          <fgColor rgb="FF2A2620"/>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5A5"/>
      <rgbColor rgb="FF808080"/>
      <rgbColor rgb="FF9999FF"/>
      <rgbColor rgb="FF993366"/>
      <rgbColor rgb="FFFFFFCC"/>
      <rgbColor rgb="FFCCFFFF"/>
      <rgbColor rgb="FF660066"/>
      <rgbColor rgb="FFFF8080"/>
      <rgbColor rgb="FF0066CC"/>
      <rgbColor rgb="FFE5DD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C5346"/>
      <rgbColor rgb="FF969696"/>
      <rgbColor rgb="FF003366"/>
      <rgbColor rgb="FF339966"/>
      <rgbColor rgb="FF003300"/>
      <rgbColor rgb="FF2A2620"/>
      <rgbColor rgb="FF993300"/>
      <rgbColor rgb="FF993366"/>
      <rgbColor rgb="FF333399"/>
      <rgbColor rgb="FF1F2D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46"/>
    <col collapsed="false" customWidth="true" hidden="false" outlineLevel="0" max="5" min="5" style="0" width="28"/>
    <col collapsed="false" customWidth="true" hidden="false" outlineLevel="0" max="6" min="6" style="0" width="34"/>
    <col collapsed="false" customWidth="true" hidden="false" outlineLevel="0" max="7" min="7" style="0" width="14"/>
    <col collapsed="false" customWidth="true" hidden="false" outlineLevel="0" max="8" min="8" style="0" width="40"/>
  </cols>
  <sheetData>
    <row r="1" customFormat="false" ht="24" hidden="false" customHeight="true" outlineLevel="0" collapsed="false">
      <c r="A1" s="1" t="s">
        <v>0</v>
      </c>
      <c r="B1" s="1" t="s">
        <v>1</v>
      </c>
      <c r="C1" s="1" t="s">
        <v>2</v>
      </c>
      <c r="D1" s="1" t="s">
        <v>3</v>
      </c>
      <c r="E1" s="1" t="s">
        <v>4</v>
      </c>
      <c r="F1" s="1" t="s">
        <v>5</v>
      </c>
      <c r="G1" s="1" t="s">
        <v>6</v>
      </c>
      <c r="H1" s="1" t="s">
        <v>7</v>
      </c>
    </row>
    <row r="2" customFormat="false" ht="19.5" hidden="false" customHeight="true" outlineLevel="0" collapsed="false">
      <c r="A2" s="2" t="s">
        <v>8</v>
      </c>
      <c r="B2" s="3"/>
      <c r="C2" s="3"/>
      <c r="D2" s="3"/>
      <c r="E2" s="3"/>
      <c r="F2" s="3"/>
      <c r="G2" s="3"/>
      <c r="H2" s="3"/>
    </row>
    <row r="3" customFormat="false" ht="103.5" hidden="false" customHeight="true" outlineLevel="0" collapsed="false">
      <c r="A3" s="4" t="s">
        <v>9</v>
      </c>
      <c r="B3" s="5" t="s">
        <v>10</v>
      </c>
      <c r="C3" s="5" t="s">
        <v>11</v>
      </c>
      <c r="D3" s="5" t="s">
        <v>12</v>
      </c>
      <c r="E3" s="5" t="s">
        <v>13</v>
      </c>
      <c r="F3" s="5" t="s">
        <v>14</v>
      </c>
      <c r="G3" s="5"/>
      <c r="H3" s="5"/>
    </row>
    <row r="4" customFormat="false" ht="19.5" hidden="false" customHeight="true" outlineLevel="0" collapsed="false">
      <c r="A4" s="2" t="s">
        <v>15</v>
      </c>
      <c r="B4" s="3"/>
      <c r="C4" s="3"/>
      <c r="D4" s="3"/>
      <c r="E4" s="3"/>
      <c r="F4" s="3"/>
      <c r="G4" s="3"/>
      <c r="H4" s="3"/>
    </row>
    <row r="5" customFormat="false" ht="103.5" hidden="false" customHeight="true" outlineLevel="0" collapsed="false">
      <c r="A5" s="4" t="s">
        <v>16</v>
      </c>
      <c r="B5" s="5" t="s">
        <v>17</v>
      </c>
      <c r="C5" s="5" t="s">
        <v>18</v>
      </c>
      <c r="D5" s="5" t="s">
        <v>19</v>
      </c>
      <c r="E5" s="5" t="s">
        <v>20</v>
      </c>
      <c r="F5" s="5" t="s">
        <v>21</v>
      </c>
      <c r="G5" s="5"/>
      <c r="H5" s="5"/>
    </row>
    <row r="6" customFormat="false" ht="117.75" hidden="false" customHeight="true" outlineLevel="0" collapsed="false">
      <c r="A6" s="4" t="s">
        <v>22</v>
      </c>
      <c r="B6" s="5" t="s">
        <v>23</v>
      </c>
      <c r="C6" s="5" t="s">
        <v>24</v>
      </c>
      <c r="D6" s="5" t="s">
        <v>25</v>
      </c>
      <c r="E6" s="5" t="s">
        <v>26</v>
      </c>
      <c r="F6" s="5" t="s">
        <v>27</v>
      </c>
      <c r="G6" s="5"/>
      <c r="H6" s="5"/>
    </row>
    <row r="7" customFormat="false" ht="117.75" hidden="false" customHeight="true" outlineLevel="0" collapsed="false">
      <c r="A7" s="4" t="s">
        <v>28</v>
      </c>
      <c r="B7" s="5" t="s">
        <v>29</v>
      </c>
      <c r="C7" s="5" t="s">
        <v>30</v>
      </c>
      <c r="D7" s="5" t="s">
        <v>31</v>
      </c>
      <c r="E7" s="5" t="s">
        <v>26</v>
      </c>
      <c r="F7" s="5" t="s">
        <v>32</v>
      </c>
      <c r="G7" s="5"/>
      <c r="H7" s="5"/>
    </row>
    <row r="8" customFormat="false" ht="90" hidden="false" customHeight="true" outlineLevel="0" collapsed="false">
      <c r="A8" s="4" t="s">
        <v>33</v>
      </c>
      <c r="B8" s="5" t="s">
        <v>34</v>
      </c>
      <c r="C8" s="5" t="s">
        <v>35</v>
      </c>
      <c r="D8" s="5" t="s">
        <v>36</v>
      </c>
      <c r="E8" s="5" t="s">
        <v>37</v>
      </c>
      <c r="F8" s="5" t="s">
        <v>38</v>
      </c>
      <c r="G8" s="5"/>
      <c r="H8" s="5"/>
    </row>
    <row r="9" customFormat="false" ht="117.75" hidden="false" customHeight="true" outlineLevel="0" collapsed="false">
      <c r="A9" s="4" t="s">
        <v>39</v>
      </c>
      <c r="B9" s="5" t="s">
        <v>40</v>
      </c>
      <c r="C9" s="5" t="s">
        <v>41</v>
      </c>
      <c r="D9" s="5" t="s">
        <v>42</v>
      </c>
      <c r="E9" s="5" t="s">
        <v>20</v>
      </c>
      <c r="F9" s="5" t="s">
        <v>43</v>
      </c>
      <c r="G9" s="5"/>
      <c r="H9" s="5"/>
    </row>
    <row r="10" customFormat="false" ht="145.5" hidden="false" customHeight="true" outlineLevel="0" collapsed="false">
      <c r="A10" s="4" t="s">
        <v>44</v>
      </c>
      <c r="B10" s="5" t="s">
        <v>45</v>
      </c>
      <c r="C10" s="5" t="s">
        <v>46</v>
      </c>
      <c r="D10" s="5" t="s">
        <v>47</v>
      </c>
      <c r="E10" s="5" t="s">
        <v>48</v>
      </c>
      <c r="F10" s="5" t="s">
        <v>49</v>
      </c>
      <c r="G10" s="5"/>
      <c r="H10" s="5"/>
    </row>
    <row r="11" customFormat="false" ht="19.5" hidden="false" customHeight="true" outlineLevel="0" collapsed="false">
      <c r="A11" s="2" t="s">
        <v>50</v>
      </c>
      <c r="B11" s="3"/>
      <c r="C11" s="3"/>
      <c r="D11" s="3"/>
      <c r="E11" s="3"/>
      <c r="F11" s="3"/>
      <c r="G11" s="3"/>
      <c r="H11" s="3"/>
    </row>
    <row r="12" customFormat="false" ht="103.5" hidden="false" customHeight="true" outlineLevel="0" collapsed="false">
      <c r="A12" s="4" t="s">
        <v>51</v>
      </c>
      <c r="B12" s="5" t="s">
        <v>52</v>
      </c>
      <c r="C12" s="5" t="s">
        <v>53</v>
      </c>
      <c r="D12" s="5" t="s">
        <v>54</v>
      </c>
      <c r="E12" s="5" t="s">
        <v>55</v>
      </c>
      <c r="F12" s="5" t="s">
        <v>56</v>
      </c>
      <c r="G12" s="5"/>
      <c r="H12" s="5"/>
    </row>
    <row r="13" customFormat="false" ht="90" hidden="false" customHeight="true" outlineLevel="0" collapsed="false">
      <c r="A13" s="4" t="s">
        <v>57</v>
      </c>
      <c r="B13" s="5" t="s">
        <v>34</v>
      </c>
      <c r="C13" s="5" t="s">
        <v>58</v>
      </c>
      <c r="D13" s="5" t="s">
        <v>59</v>
      </c>
      <c r="E13" s="5" t="s">
        <v>60</v>
      </c>
      <c r="F13" s="5" t="s">
        <v>61</v>
      </c>
      <c r="G13" s="5"/>
      <c r="H13" s="5"/>
    </row>
    <row r="14" customFormat="false" ht="90" hidden="false" customHeight="true" outlineLevel="0" collapsed="false">
      <c r="A14" s="4" t="s">
        <v>62</v>
      </c>
      <c r="B14" s="5" t="s">
        <v>34</v>
      </c>
      <c r="C14" s="5" t="s">
        <v>63</v>
      </c>
      <c r="D14" s="5" t="s">
        <v>59</v>
      </c>
      <c r="E14" s="5" t="s">
        <v>64</v>
      </c>
      <c r="F14" s="5" t="s">
        <v>65</v>
      </c>
      <c r="G14" s="5"/>
      <c r="H14" s="5"/>
    </row>
    <row r="15" customFormat="false" ht="90" hidden="false" customHeight="true" outlineLevel="0" collapsed="false">
      <c r="A15" s="4" t="s">
        <v>66</v>
      </c>
      <c r="B15" s="5" t="s">
        <v>34</v>
      </c>
      <c r="C15" s="5" t="s">
        <v>67</v>
      </c>
      <c r="D15" s="5" t="s">
        <v>59</v>
      </c>
      <c r="E15" s="5" t="s">
        <v>68</v>
      </c>
      <c r="F15" s="5" t="s">
        <v>69</v>
      </c>
      <c r="G15" s="5"/>
      <c r="H15" s="5"/>
    </row>
    <row r="16" customFormat="false" ht="132" hidden="false" customHeight="true" outlineLevel="0" collapsed="false">
      <c r="A16" s="4" t="s">
        <v>70</v>
      </c>
      <c r="B16" s="5" t="s">
        <v>71</v>
      </c>
      <c r="C16" s="5" t="s">
        <v>72</v>
      </c>
      <c r="D16" s="5" t="s">
        <v>73</v>
      </c>
      <c r="E16" s="5" t="s">
        <v>74</v>
      </c>
      <c r="F16" s="5" t="s">
        <v>75</v>
      </c>
      <c r="G16" s="5"/>
      <c r="H16" s="5"/>
    </row>
    <row r="17" customFormat="false" ht="90" hidden="false" customHeight="true" outlineLevel="0" collapsed="false">
      <c r="A17" s="4" t="s">
        <v>76</v>
      </c>
      <c r="B17" s="5" t="s">
        <v>34</v>
      </c>
      <c r="C17" s="5" t="s">
        <v>77</v>
      </c>
      <c r="D17" s="5" t="s">
        <v>78</v>
      </c>
      <c r="E17" s="5" t="s">
        <v>20</v>
      </c>
      <c r="F17" s="5" t="s">
        <v>79</v>
      </c>
      <c r="G17" s="5"/>
      <c r="H17" s="5"/>
    </row>
    <row r="18" customFormat="false" ht="103.5" hidden="false" customHeight="true" outlineLevel="0" collapsed="false">
      <c r="A18" s="4" t="s">
        <v>80</v>
      </c>
      <c r="B18" s="5" t="s">
        <v>34</v>
      </c>
      <c r="C18" s="5" t="s">
        <v>81</v>
      </c>
      <c r="D18" s="5" t="s">
        <v>82</v>
      </c>
      <c r="E18" s="5" t="s">
        <v>83</v>
      </c>
      <c r="F18" s="5" t="s">
        <v>84</v>
      </c>
      <c r="G18" s="5"/>
      <c r="H18" s="5"/>
    </row>
    <row r="19" customFormat="false" ht="90" hidden="false" customHeight="true" outlineLevel="0" collapsed="false">
      <c r="A19" s="4" t="s">
        <v>85</v>
      </c>
      <c r="B19" s="5" t="s">
        <v>86</v>
      </c>
      <c r="C19" s="5" t="s">
        <v>87</v>
      </c>
      <c r="D19" s="5" t="s">
        <v>88</v>
      </c>
      <c r="E19" s="5" t="s">
        <v>89</v>
      </c>
      <c r="F19" s="5" t="s">
        <v>90</v>
      </c>
      <c r="G19" s="5"/>
      <c r="H19" s="5"/>
    </row>
    <row r="20" customFormat="false" ht="90" hidden="false" customHeight="true" outlineLevel="0" collapsed="false">
      <c r="A20" s="4" t="s">
        <v>91</v>
      </c>
      <c r="B20" s="5" t="s">
        <v>86</v>
      </c>
      <c r="C20" s="5" t="s">
        <v>92</v>
      </c>
      <c r="D20" s="5" t="s">
        <v>93</v>
      </c>
      <c r="E20" s="5" t="s">
        <v>94</v>
      </c>
      <c r="F20" s="5" t="s">
        <v>95</v>
      </c>
      <c r="G20" s="5"/>
      <c r="H20" s="5"/>
    </row>
    <row r="21" customFormat="false" ht="90" hidden="false" customHeight="true" outlineLevel="0" collapsed="false">
      <c r="A21" s="4" t="s">
        <v>96</v>
      </c>
      <c r="B21" s="5" t="s">
        <v>86</v>
      </c>
      <c r="C21" s="5" t="s">
        <v>97</v>
      </c>
      <c r="D21" s="5" t="s">
        <v>98</v>
      </c>
      <c r="E21" s="5" t="s">
        <v>99</v>
      </c>
      <c r="F21" s="5" t="s">
        <v>100</v>
      </c>
      <c r="G21" s="5"/>
      <c r="H21" s="5"/>
    </row>
    <row r="22" customFormat="false" ht="90" hidden="false" customHeight="true" outlineLevel="0" collapsed="false">
      <c r="A22" s="4" t="s">
        <v>101</v>
      </c>
      <c r="B22" s="5" t="s">
        <v>86</v>
      </c>
      <c r="C22" s="5" t="s">
        <v>102</v>
      </c>
      <c r="D22" s="5" t="s">
        <v>103</v>
      </c>
      <c r="E22" s="5" t="s">
        <v>104</v>
      </c>
      <c r="F22" s="5" t="s">
        <v>105</v>
      </c>
      <c r="G22" s="5"/>
      <c r="H22" s="5"/>
    </row>
    <row r="23" customFormat="false" ht="90" hidden="false" customHeight="true" outlineLevel="0" collapsed="false">
      <c r="A23" s="4" t="s">
        <v>106</v>
      </c>
      <c r="B23" s="5" t="s">
        <v>86</v>
      </c>
      <c r="C23" s="5" t="s">
        <v>107</v>
      </c>
      <c r="D23" s="5" t="s">
        <v>108</v>
      </c>
      <c r="E23" s="5" t="s">
        <v>109</v>
      </c>
      <c r="F23" s="5" t="s">
        <v>110</v>
      </c>
      <c r="G23" s="5"/>
      <c r="H23" s="5"/>
    </row>
    <row r="24" customFormat="false" ht="90" hidden="false" customHeight="true" outlineLevel="0" collapsed="false">
      <c r="A24" s="4" t="s">
        <v>111</v>
      </c>
      <c r="B24" s="5" t="s">
        <v>86</v>
      </c>
      <c r="C24" s="5" t="s">
        <v>112</v>
      </c>
      <c r="D24" s="5" t="s">
        <v>113</v>
      </c>
      <c r="E24" s="5" t="s">
        <v>114</v>
      </c>
      <c r="F24" s="5" t="s">
        <v>115</v>
      </c>
      <c r="G24" s="5"/>
      <c r="H24" s="5"/>
    </row>
    <row r="25" customFormat="false" ht="19.5" hidden="false" customHeight="true" outlineLevel="0" collapsed="false">
      <c r="A25" s="2" t="s">
        <v>116</v>
      </c>
      <c r="B25" s="3"/>
      <c r="C25" s="3"/>
      <c r="D25" s="3"/>
      <c r="E25" s="3"/>
      <c r="F25" s="3"/>
      <c r="G25" s="3"/>
      <c r="H25" s="3"/>
    </row>
    <row r="26" customFormat="false" ht="90" hidden="false" customHeight="true" outlineLevel="0" collapsed="false">
      <c r="A26" s="4" t="s">
        <v>117</v>
      </c>
      <c r="B26" s="5" t="s">
        <v>118</v>
      </c>
      <c r="C26" s="5" t="s">
        <v>119</v>
      </c>
      <c r="D26" s="5" t="s">
        <v>120</v>
      </c>
      <c r="E26" s="5" t="s">
        <v>121</v>
      </c>
      <c r="F26" s="5" t="s">
        <v>122</v>
      </c>
      <c r="G26" s="5"/>
      <c r="H26" s="5"/>
    </row>
    <row r="27" customFormat="false" ht="90" hidden="false" customHeight="true" outlineLevel="0" collapsed="false">
      <c r="A27" s="4" t="s">
        <v>123</v>
      </c>
      <c r="B27" s="5" t="s">
        <v>34</v>
      </c>
      <c r="C27" s="5" t="s">
        <v>124</v>
      </c>
      <c r="D27" s="5" t="s">
        <v>125</v>
      </c>
      <c r="E27" s="5" t="s">
        <v>48</v>
      </c>
      <c r="F27" s="5" t="s">
        <v>126</v>
      </c>
      <c r="G27" s="5"/>
      <c r="H27" s="5"/>
    </row>
    <row r="28" customFormat="false" ht="90" hidden="false" customHeight="true" outlineLevel="0" collapsed="false">
      <c r="A28" s="4" t="s">
        <v>127</v>
      </c>
      <c r="B28" s="5" t="s">
        <v>34</v>
      </c>
      <c r="C28" s="5" t="s">
        <v>128</v>
      </c>
      <c r="D28" s="5" t="s">
        <v>129</v>
      </c>
      <c r="E28" s="5" t="s">
        <v>48</v>
      </c>
      <c r="F28" s="5" t="s">
        <v>130</v>
      </c>
      <c r="G28" s="5"/>
      <c r="H28" s="5"/>
    </row>
    <row r="29" customFormat="false" ht="103.5" hidden="false" customHeight="true" outlineLevel="0" collapsed="false">
      <c r="A29" s="4" t="s">
        <v>131</v>
      </c>
      <c r="B29" s="5" t="s">
        <v>132</v>
      </c>
      <c r="C29" s="5" t="s">
        <v>133</v>
      </c>
      <c r="D29" s="5" t="s">
        <v>134</v>
      </c>
      <c r="E29" s="5" t="s">
        <v>48</v>
      </c>
      <c r="F29" s="5" t="s">
        <v>135</v>
      </c>
      <c r="G29" s="5"/>
      <c r="H29" s="5"/>
    </row>
    <row r="30" customFormat="false" ht="90" hidden="false" customHeight="true" outlineLevel="0" collapsed="false">
      <c r="A30" s="4" t="s">
        <v>136</v>
      </c>
      <c r="B30" s="5" t="s">
        <v>34</v>
      </c>
      <c r="C30" s="5" t="s">
        <v>137</v>
      </c>
      <c r="D30" s="5" t="s">
        <v>138</v>
      </c>
      <c r="E30" s="5" t="s">
        <v>48</v>
      </c>
      <c r="F30" s="5" t="s">
        <v>139</v>
      </c>
      <c r="G30" s="5"/>
      <c r="H30" s="5"/>
    </row>
    <row r="31" customFormat="false" ht="19.5" hidden="false" customHeight="true" outlineLevel="0" collapsed="false">
      <c r="A31" s="2" t="s">
        <v>140</v>
      </c>
      <c r="B31" s="3"/>
      <c r="C31" s="3"/>
      <c r="D31" s="3"/>
      <c r="E31" s="3"/>
      <c r="F31" s="3"/>
      <c r="G31" s="3"/>
      <c r="H31" s="3"/>
    </row>
    <row r="32" customFormat="false" ht="103.5" hidden="false" customHeight="true" outlineLevel="0" collapsed="false">
      <c r="A32" s="4" t="s">
        <v>141</v>
      </c>
      <c r="B32" s="5" t="s">
        <v>142</v>
      </c>
      <c r="C32" s="5" t="s">
        <v>143</v>
      </c>
      <c r="D32" s="5" t="s">
        <v>144</v>
      </c>
      <c r="E32" s="5" t="s">
        <v>145</v>
      </c>
      <c r="F32" s="5" t="s">
        <v>146</v>
      </c>
      <c r="G32" s="5"/>
      <c r="H32" s="5"/>
    </row>
    <row r="33" customFormat="false" ht="145.5" hidden="false" customHeight="true" outlineLevel="0" collapsed="false">
      <c r="A33" s="4" t="s">
        <v>147</v>
      </c>
      <c r="B33" s="5" t="s">
        <v>148</v>
      </c>
      <c r="C33" s="5" t="s">
        <v>149</v>
      </c>
      <c r="D33" s="5" t="s">
        <v>150</v>
      </c>
      <c r="E33" s="5" t="s">
        <v>48</v>
      </c>
      <c r="F33" s="5" t="s">
        <v>151</v>
      </c>
      <c r="G33" s="5"/>
      <c r="H33" s="5"/>
    </row>
    <row r="34" customFormat="false" ht="145.5" hidden="false" customHeight="true" outlineLevel="0" collapsed="false">
      <c r="A34" s="4" t="s">
        <v>152</v>
      </c>
      <c r="B34" s="5" t="s">
        <v>153</v>
      </c>
      <c r="C34" s="5" t="s">
        <v>154</v>
      </c>
      <c r="D34" s="5" t="s">
        <v>155</v>
      </c>
      <c r="E34" s="5" t="s">
        <v>156</v>
      </c>
      <c r="F34" s="5" t="s">
        <v>157</v>
      </c>
      <c r="G34" s="5"/>
      <c r="H34" s="5"/>
    </row>
    <row r="35" customFormat="false" ht="174" hidden="false" customHeight="true" outlineLevel="0" collapsed="false">
      <c r="A35" s="4" t="s">
        <v>158</v>
      </c>
      <c r="B35" s="5" t="s">
        <v>159</v>
      </c>
      <c r="C35" s="5" t="s">
        <v>160</v>
      </c>
      <c r="D35" s="5" t="s">
        <v>161</v>
      </c>
      <c r="E35" s="5" t="s">
        <v>162</v>
      </c>
      <c r="F35" s="5" t="s">
        <v>163</v>
      </c>
      <c r="G35" s="5"/>
      <c r="H35" s="5"/>
    </row>
    <row r="36" customFormat="false" ht="90" hidden="false" customHeight="true" outlineLevel="0" collapsed="false">
      <c r="A36" s="4" t="s">
        <v>164</v>
      </c>
      <c r="B36" s="5" t="s">
        <v>142</v>
      </c>
      <c r="C36" s="5" t="s">
        <v>165</v>
      </c>
      <c r="D36" s="5" t="s">
        <v>166</v>
      </c>
      <c r="E36" s="5" t="s">
        <v>48</v>
      </c>
      <c r="F36" s="5" t="s">
        <v>167</v>
      </c>
      <c r="G36" s="5"/>
      <c r="H36" s="5"/>
    </row>
    <row r="37" customFormat="false" ht="90" hidden="false" customHeight="true" outlineLevel="0" collapsed="false">
      <c r="A37" s="4" t="s">
        <v>168</v>
      </c>
      <c r="B37" s="5" t="s">
        <v>169</v>
      </c>
      <c r="C37" s="5" t="s">
        <v>170</v>
      </c>
      <c r="D37" s="5" t="s">
        <v>171</v>
      </c>
      <c r="E37" s="5" t="s">
        <v>48</v>
      </c>
      <c r="F37" s="5" t="s">
        <v>172</v>
      </c>
      <c r="G37" s="5"/>
      <c r="H37" s="5"/>
    </row>
    <row r="38" customFormat="false" ht="90" hidden="false" customHeight="true" outlineLevel="0" collapsed="false">
      <c r="A38" s="4" t="s">
        <v>173</v>
      </c>
      <c r="B38" s="5" t="s">
        <v>169</v>
      </c>
      <c r="C38" s="5" t="s">
        <v>174</v>
      </c>
      <c r="D38" s="5" t="s">
        <v>175</v>
      </c>
      <c r="E38" s="5" t="s">
        <v>176</v>
      </c>
      <c r="F38" s="5" t="s">
        <v>177</v>
      </c>
      <c r="G38" s="5"/>
      <c r="H38" s="5"/>
    </row>
    <row r="39" customFormat="false" ht="103.5" hidden="false" customHeight="true" outlineLevel="0" collapsed="false">
      <c r="A39" s="4" t="s">
        <v>178</v>
      </c>
      <c r="B39" s="5" t="s">
        <v>179</v>
      </c>
      <c r="C39" s="5" t="s">
        <v>180</v>
      </c>
      <c r="D39" s="5" t="s">
        <v>181</v>
      </c>
      <c r="E39" s="5" t="s">
        <v>37</v>
      </c>
      <c r="F39" s="5" t="s">
        <v>182</v>
      </c>
      <c r="G39" s="5"/>
      <c r="H39" s="5"/>
    </row>
    <row r="40" customFormat="false" ht="90" hidden="false" customHeight="true" outlineLevel="0" collapsed="false">
      <c r="A40" s="4" t="s">
        <v>183</v>
      </c>
      <c r="B40" s="5" t="s">
        <v>169</v>
      </c>
      <c r="C40" s="5" t="s">
        <v>184</v>
      </c>
      <c r="D40" s="5" t="s">
        <v>185</v>
      </c>
      <c r="E40" s="5" t="s">
        <v>48</v>
      </c>
      <c r="F40" s="5" t="s">
        <v>186</v>
      </c>
      <c r="G40" s="5"/>
      <c r="H40" s="5"/>
    </row>
    <row r="41" customFormat="false" ht="19.5" hidden="false" customHeight="true" outlineLevel="0" collapsed="false">
      <c r="A41" s="2" t="s">
        <v>187</v>
      </c>
      <c r="B41" s="3"/>
      <c r="C41" s="3"/>
      <c r="D41" s="3"/>
      <c r="E41" s="3"/>
      <c r="F41" s="3"/>
      <c r="G41" s="3"/>
      <c r="H41" s="3"/>
    </row>
    <row r="42" customFormat="false" ht="90" hidden="false" customHeight="true" outlineLevel="0" collapsed="false">
      <c r="A42" s="4" t="s">
        <v>188</v>
      </c>
      <c r="B42" s="5" t="s">
        <v>189</v>
      </c>
      <c r="C42" s="5" t="s">
        <v>190</v>
      </c>
      <c r="D42" s="5" t="s">
        <v>191</v>
      </c>
      <c r="E42" s="5" t="s">
        <v>48</v>
      </c>
      <c r="F42" s="5" t="s">
        <v>192</v>
      </c>
      <c r="G42" s="5"/>
      <c r="H42" s="5"/>
    </row>
    <row r="43" customFormat="false" ht="90" hidden="false" customHeight="true" outlineLevel="0" collapsed="false">
      <c r="A43" s="4" t="s">
        <v>193</v>
      </c>
      <c r="B43" s="5" t="s">
        <v>194</v>
      </c>
      <c r="C43" s="5" t="s">
        <v>195</v>
      </c>
      <c r="D43" s="5" t="s">
        <v>196</v>
      </c>
      <c r="E43" s="5" t="s">
        <v>48</v>
      </c>
      <c r="F43" s="5" t="s">
        <v>197</v>
      </c>
      <c r="G43" s="5"/>
      <c r="H43" s="5"/>
    </row>
    <row r="44" customFormat="false" ht="90" hidden="false" customHeight="true" outlineLevel="0" collapsed="false">
      <c r="A44" s="4" t="s">
        <v>198</v>
      </c>
      <c r="B44" s="5" t="s">
        <v>194</v>
      </c>
      <c r="C44" s="5" t="s">
        <v>199</v>
      </c>
      <c r="D44" s="5" t="s">
        <v>200</v>
      </c>
      <c r="E44" s="5" t="s">
        <v>48</v>
      </c>
      <c r="F44" s="5" t="s">
        <v>201</v>
      </c>
      <c r="G44" s="5"/>
      <c r="H44" s="5"/>
    </row>
    <row r="45" customFormat="false" ht="90" hidden="false" customHeight="true" outlineLevel="0" collapsed="false">
      <c r="A45" s="4" t="s">
        <v>202</v>
      </c>
      <c r="B45" s="5" t="s">
        <v>203</v>
      </c>
      <c r="C45" s="5" t="s">
        <v>204</v>
      </c>
      <c r="D45" s="5" t="s">
        <v>166</v>
      </c>
      <c r="E45" s="5" t="s">
        <v>48</v>
      </c>
      <c r="F45" s="5" t="s">
        <v>205</v>
      </c>
      <c r="G45" s="5"/>
      <c r="H45" s="5"/>
    </row>
    <row r="46" customFormat="false" ht="90" hidden="false" customHeight="true" outlineLevel="0" collapsed="false">
      <c r="A46" s="4" t="s">
        <v>206</v>
      </c>
      <c r="B46" s="5" t="s">
        <v>207</v>
      </c>
      <c r="C46" s="5" t="s">
        <v>208</v>
      </c>
      <c r="D46" s="5" t="s">
        <v>209</v>
      </c>
      <c r="E46" s="5" t="s">
        <v>48</v>
      </c>
      <c r="F46" s="5" t="s">
        <v>210</v>
      </c>
      <c r="G46" s="5"/>
      <c r="H46" s="5"/>
    </row>
  </sheetData>
  <autoFilter ref="A1:H46"/>
  <dataValidations count="1">
    <dataValidation allowBlank="true" errorStyle="stop" operator="between" showDropDown="false" showErrorMessage="false" showInputMessage="false" sqref="G3 G5:G10 G12:G24 G26:G30 G32:G40 G42:G46" type="list">
      <formula1>"Not started,Looks right,Needs work,Done"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88"/>
  </cols>
  <sheetData>
    <row r="1" customFormat="false" ht="17.35" hidden="false" customHeight="false" outlineLevel="0" collapsed="false">
      <c r="A1" s="6" t="s">
        <v>211</v>
      </c>
    </row>
    <row r="2" customFormat="false" ht="15" hidden="false" customHeight="false" outlineLevel="0" collapsed="false">
      <c r="A2" s="7" t="s">
        <v>212</v>
      </c>
      <c r="B2" s="8" t="n">
        <v>46326</v>
      </c>
    </row>
    <row r="4" customFormat="false" ht="25.5" hidden="false" customHeight="true" outlineLevel="0" collapsed="false">
      <c r="A4" s="7" t="s">
        <v>213</v>
      </c>
      <c r="B4" s="9" t="s">
        <v>214</v>
      </c>
    </row>
    <row r="5" customFormat="false" ht="25.5" hidden="false" customHeight="true" outlineLevel="0" collapsed="false">
      <c r="A5" s="7" t="s">
        <v>6</v>
      </c>
      <c r="B5" s="10" t="s">
        <v>215</v>
      </c>
    </row>
    <row r="6" customFormat="false" ht="25.5" hidden="false" customHeight="true" outlineLevel="0" collapsed="false">
      <c r="A6" s="7" t="s">
        <v>216</v>
      </c>
      <c r="B6" s="10" t="s">
        <v>217</v>
      </c>
    </row>
    <row r="8" customFormat="false" ht="15" hidden="false" customHeight="true" outlineLevel="0" collapsed="false">
      <c r="A8" s="7" t="s">
        <v>0</v>
      </c>
      <c r="B8" s="10" t="s">
        <v>218</v>
      </c>
    </row>
    <row r="9" customFormat="false" ht="25.5" hidden="false" customHeight="true" outlineLevel="0" collapsed="false">
      <c r="A9" s="7" t="s">
        <v>1</v>
      </c>
      <c r="B9" s="10" t="s">
        <v>219</v>
      </c>
    </row>
    <row r="10" customFormat="false" ht="15" hidden="false" customHeight="true" outlineLevel="0" collapsed="false">
      <c r="A10" s="7" t="s">
        <v>2</v>
      </c>
      <c r="B10" s="10" t="s">
        <v>220</v>
      </c>
    </row>
    <row r="11" customFormat="false" ht="25.5" hidden="false" customHeight="true" outlineLevel="0" collapsed="false">
      <c r="A11" s="7" t="s">
        <v>3</v>
      </c>
      <c r="B11" s="10" t="s">
        <v>221</v>
      </c>
    </row>
    <row r="12" customFormat="false" ht="25.5" hidden="false" customHeight="true" outlineLevel="0" collapsed="false">
      <c r="A12" s="7" t="s">
        <v>4</v>
      </c>
      <c r="B12" s="10" t="s">
        <v>222</v>
      </c>
    </row>
    <row r="13" customFormat="false" ht="25.5" hidden="false" customHeight="true" outlineLevel="0" collapsed="false">
      <c r="A13" s="7" t="s">
        <v>5</v>
      </c>
      <c r="B13" s="10" t="s">
        <v>223</v>
      </c>
    </row>
    <row r="15" customFormat="false" ht="25.5" hidden="false" customHeight="true" outlineLevel="0" collapsed="false">
      <c r="A15" s="7" t="s">
        <v>224</v>
      </c>
      <c r="B15" s="10" t="s">
        <v>225</v>
      </c>
    </row>
    <row r="16" customFormat="false" ht="15" hidden="false" customHeight="true" outlineLevel="0" collapsed="false">
      <c r="A16" s="7" t="s">
        <v>226</v>
      </c>
      <c r="B16" s="10"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s>
  <sheetData>
    <row r="1" customFormat="false" ht="16.15" hidden="false" customHeight="false" outlineLevel="0" collapsed="false">
      <c r="A1" s="11" t="s">
        <v>228</v>
      </c>
    </row>
    <row r="2" customFormat="false" ht="15" hidden="false" customHeight="false" outlineLevel="0" collapsed="false">
      <c r="A2" s="12" t="s">
        <v>229</v>
      </c>
    </row>
    <row r="4" customFormat="false" ht="15" hidden="false" customHeight="false" outlineLevel="0" collapsed="false">
      <c r="A4" s="7" t="s">
        <v>230</v>
      </c>
      <c r="B4" s="13" t="n">
        <f aca="false">COUNTIF('Page review'!$A$2:$A$46,"*/*")</f>
        <v>39</v>
      </c>
    </row>
    <row r="5" customFormat="false" ht="15" hidden="false" customHeight="false" outlineLevel="0" collapsed="false">
      <c r="A5" s="7" t="s">
        <v>231</v>
      </c>
      <c r="B5" s="13" t="n">
        <f aca="false">COUNTIF('Page review'!$G$2:$G$46,"Not started")</f>
        <v>0</v>
      </c>
    </row>
    <row r="6" customFormat="false" ht="15" hidden="false" customHeight="false" outlineLevel="0" collapsed="false">
      <c r="A6" s="7" t="s">
        <v>232</v>
      </c>
      <c r="B6" s="13" t="n">
        <f aca="false">COUNTIF('Page review'!$G$2:$G$46,"Looks right")</f>
        <v>0</v>
      </c>
    </row>
    <row r="7" customFormat="false" ht="15" hidden="false" customHeight="false" outlineLevel="0" collapsed="false">
      <c r="A7" s="7" t="s">
        <v>233</v>
      </c>
      <c r="B7" s="13" t="n">
        <f aca="false">COUNTIF('Page review'!$G$2:$G$46,"Needs work")</f>
        <v>0</v>
      </c>
    </row>
    <row r="8" customFormat="false" ht="15" hidden="false" customHeight="false" outlineLevel="0" collapsed="false">
      <c r="A8" s="7" t="s">
        <v>234</v>
      </c>
      <c r="B8" s="13" t="n">
        <f aca="false">COUNTIF('Page review'!$G$2:$G$46,"Done")</f>
        <v>0</v>
      </c>
    </row>
    <row r="9" customFormat="false" ht="15" hidden="false" customHeight="false" outlineLevel="0" collapsed="false">
      <c r="A9" s="7" t="s">
        <v>235</v>
      </c>
      <c r="B9" s="13" t="n">
        <f aca="false">B4-SUM(B5:B8)</f>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2026-10-31T01:20:30Z</dcterms:created>
  <dc:creator>openpyxl</dc:creator>
  <dc:description/>
  <dc:language>en-US</dc:language>
  <cp:lastModifiedBy/>
  <dcterms:modified xsi:type="dcterms:W3CDTF">2026-10-31T01:20:30Z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